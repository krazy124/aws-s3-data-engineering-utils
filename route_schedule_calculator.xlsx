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dfe69aa14849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ute Schedule" sheetId="1" r:id="Re89c0426e94e4b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h:mm AM/PM"/>
    <x:numFmt numFmtId="201" formatCode="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color rgb="C00000"/>
      </x:font>
      <x:fill>
        <x:patternFill patternType="solid">
          <x:bgColor rgb="FCE4D6"/>
        </x:patternFill>
      </x:fill>
    </x:dxf>
    <x:dxf>
      <x:font>
        <x:color rgb="008000"/>
      </x:font>
      <x:fill>
        <x:patternFill patternType="solid">
          <x:bgColor rgb="E2F0D9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  <x:dxf>
      <x:font>
        <x:color rgb="274E13"/>
      </x:font>
      <x:fill>
        <x:patternFill patternType="solid">
          <x:bgColor rgb="D9EAD3"/>
        </x:patternFill>
      </x:fill>
    </x:dxf>
    <x:dxf>
      <x:font>
        <x:color rgb="1F4E78"/>
      </x:font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af2a5a798746fd" /><Relationship Type="http://schemas.openxmlformats.org/officeDocument/2006/relationships/theme" Target="/xl/theme/theme1.xml" Id="R3382a298f2c745c6" /><Relationship Type="http://schemas.openxmlformats.org/officeDocument/2006/relationships/sharedStrings" Target="/xl/sharedStrings.xml" Id="R2977b086fa9f48bb" /><Relationship Type="http://schemas.openxmlformats.org/officeDocument/2006/relationships/worksheet" Target="/xl/worksheets/sheet1.xml" Id="Re89c0426e94e4b06" /></Relationships>
</file>

<file path=xl/tables/table1.xml><?xml version="1.0" encoding="utf-8"?>
<x:table xmlns:x="http://schemas.openxmlformats.org/spreadsheetml/2006/main" id="1" name="RouteScheduleTable" displayName="RouteScheduleTable" ref="A1:N11" headerRowCount="1">
  <x:tableColumns count="14">
    <x:tableColumn id="1" name="Stop #"/>
    <x:tableColumn id="2" name="Est Drive Time"/>
    <x:tableColumn id="3" name="Delivery Window"/>
    <x:tableColumn id="4" name="Est Arrive"/>
    <x:tableColumn id="5" name="Est Depart"/>
    <x:tableColumn id="6" name="Actual Arrive"/>
    <x:tableColumn id="7" name="Actual Depart"/>
    <x:tableColumn id="8" name="Drive Loss"/>
    <x:tableColumn id="9" name="Delivery Loss"/>
    <x:tableColumn id="10" name="Projected Arrive"/>
    <x:tableColumn id="11" name="Projected Depart"/>
    <x:tableColumn id="12" name="Window Status"/>
    <x:tableColumn id="13" name="Customer / Stop Name"/>
    <x:tableColumn id="14" name="Addres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1daa7ef74840bf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1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48" hidden="0" customWidth="1"/>
    <x:col min="15" max="15" width="0.10000000149011612" hidden="0" customWidth="1"/>
    <x:col min="16" max="16" width="0.10000000149011612" hidden="0" customWidth="1"/>
  </x:cols>
  <x:sheetData>
    <x:row r="1">
      <x:c r="A1" s="6" t="str">
        <x:v>Stop #</x:v>
      </x:c>
      <x:c r="B1" s="6" t="str">
        <x:v>Est Drive Time</x:v>
      </x:c>
      <x:c r="C1" s="6" t="str">
        <x:v>Delivery Window</x:v>
      </x:c>
      <x:c r="D1" s="6" t="str">
        <x:v>Est Arrive</x:v>
      </x:c>
      <x:c r="E1" s="6" t="str">
        <x:v>Est Depart</x:v>
      </x:c>
      <x:c r="F1" s="6" t="str">
        <x:v>Actual Arrive</x:v>
      </x:c>
      <x:c r="G1" s="6" t="str">
        <x:v>Actual Depart</x:v>
      </x:c>
      <x:c r="H1" s="6" t="str">
        <x:v>Drive Loss</x:v>
      </x:c>
      <x:c r="I1" s="6" t="str">
        <x:v>Delivery Loss</x:v>
      </x:c>
      <x:c r="J1" s="6" t="str">
        <x:v>Projected Arrive</x:v>
      </x:c>
      <x:c r="K1" s="6" t="str">
        <x:v>Projected Depart</x:v>
      </x:c>
      <x:c r="L1" s="6" t="str">
        <x:v>Window Status</x:v>
      </x:c>
      <x:c r="M1" s="6" t="str">
        <x:v>Customer / Stop Name</x:v>
      </x:c>
      <x:c r="N1" s="6" t="str">
        <x:v>Address</x:v>
      </x:c>
      <x:c r="O1" t="str">
        <x:v>Window Start</x:v>
      </x:c>
      <x:c r="P1" t="str">
        <x:v>Window End</x:v>
      </x:c>
    </x:row>
    <x:row r="2">
      <x:c r="A2" s="32" t="n">
        <x:v>1</x:v>
      </x:c>
      <x:c r="B2" s="32"/>
      <x:c r="C2" s="32" t="str">
        <x:v>6:00 AM – 10:00 AM</x:v>
      </x:c>
      <x:c r="D2" s="33" t="n">
        <x:v>46170.25</x:v>
      </x:c>
      <x:c r="E2" s="33" t="n">
        <x:v>46170.26388888889</x:v>
      </x:c>
      <x:c r="F2" s="33" t="str"/>
      <x:c r="G2" s="33" t="str"/>
      <x:c r="H2" s="34" t="str">
        <x:f>IF(F2="","",ROUND((F2-D2)*1440,0))</x:f>
      </x:c>
      <x:c r="I2" s="34" t="str">
        <x:f>IF(OR(F2="",G2=""),"",ROUND(((G2-F2)-(E2-D2))*1440,0))</x:f>
      </x:c>
      <x:c r="J2" s="33" t="n">
        <x:f>IF(F2&lt;&gt;"",F2,IF(A2=1,D2,K1+B2/1440))</x:f>
        <x:v>46170.25</x:v>
      </x:c>
      <x:c r="K2" s="33" t="n">
        <x:f>IF(G2&lt;&gt;"",G2,J2+(E2-D2))</x:f>
        <x:v>46170.26388888889</x:v>
      </x:c>
      <x:c r="L2" s="32" t="str">
        <x:f>IF(OR(O2="",P2=""),"N/A",IF(J2&gt;P2,"Late",IF(J2&lt;O2,"Early","On time")))</x:f>
        <x:v>On time</x:v>
      </x:c>
      <x:c r="M2" s="38" t="str">
        <x:v>RELAY 0528 Pickup</x:v>
      </x:c>
      <x:c r="N2" s="32" t="str">
        <x:v>1515 N Central Expressway, McKinney, TX 75070</x:v>
      </x:c>
      <x:c r="O2" t="n">
        <x:v>46170.25</x:v>
      </x:c>
      <x:c r="P2" t="n">
        <x:v>46170.416666666664</x:v>
      </x:c>
    </x:row>
    <x:row r="3">
      <x:c r="A3" s="32" t="n">
        <x:v>2</x:v>
      </x:c>
      <x:c r="B3" s="32" t="n">
        <x:v>35</x:v>
      </x:c>
      <x:c r="C3" s="32" t="str">
        <x:v>6:00 AM – 10:00 AM</x:v>
      </x:c>
      <x:c r="D3" s="33" t="n">
        <x:v>46170.288194444445</x:v>
      </x:c>
      <x:c r="E3" s="33" t="n">
        <x:v>46170.30902777778</x:v>
      </x:c>
      <x:c r="F3" s="33" t="str"/>
      <x:c r="G3" s="33" t="str"/>
      <x:c r="H3" s="34" t="str">
        <x:f>IF(F3="","",ROUND((F3-(K2+B3/1440))*1440,0))</x:f>
      </x:c>
      <x:c r="I3" s="34" t="str">
        <x:f>IF(OR(F3="",G3=""),"",ROUND(((G3-F3)-(E3-D3))*1440,0))</x:f>
      </x:c>
      <x:c r="J3" s="33" t="n">
        <x:f>IF(F3&lt;&gt;"",F3,IF(A3=1,D3,K2+B3/1440))</x:f>
        <x:v>46170.288194444445</x:v>
      </x:c>
      <x:c r="K3" s="33" t="n">
        <x:f>IF(G3&lt;&gt;"",G3,J3+(E3-D3))</x:f>
        <x:v>46170.30902777778</x:v>
      </x:c>
      <x:c r="L3" s="32" t="str">
        <x:f>IF(OR(O3="",P3=""),"N/A",IF(J3&gt;P3,"Late",IF(J3&lt;O3,"Early","On time")))</x:f>
        <x:v>On time</x:v>
      </x:c>
      <x:c r="M3" s="38" t="str">
        <x:v>Mike McCullough</x:v>
      </x:c>
      <x:c r="N3" s="32" t="str">
        <x:v>314 Orduna St, Trenton, TX 75490</x:v>
      </x:c>
      <x:c r="O3" t="n">
        <x:v>46170.25</x:v>
      </x:c>
      <x:c r="P3" t="n">
        <x:v>46170.416666666664</x:v>
      </x:c>
    </x:row>
    <x:row r="4">
      <x:c r="A4" s="32" t="n">
        <x:v>3</x:v>
      </x:c>
      <x:c r="B4" s="32" t="n">
        <x:v>2</x:v>
      </x:c>
      <x:c r="C4" s="32" t="str">
        <x:v>6:00 AM – 10:00 AM</x:v>
      </x:c>
      <x:c r="D4" s="33" t="n">
        <x:v>46170.31041666667</x:v>
      </x:c>
      <x:c r="E4" s="33" t="n">
        <x:v>46170.33125</x:v>
      </x:c>
      <x:c r="F4" s="33" t="str"/>
      <x:c r="G4" s="33" t="str"/>
      <x:c r="H4" s="34" t="str">
        <x:f>IF(F4="","",ROUND((F4-(K3+B4/1440))*1440,0))</x:f>
      </x:c>
      <x:c r="I4" s="34" t="str">
        <x:f>IF(OR(F4="",G4=""),"",ROUND(((G4-F4)-(E4-D4))*1440,0))</x:f>
      </x:c>
      <x:c r="J4" s="33" t="n">
        <x:f>IF(F4&lt;&gt;"",F4,IF(A4=1,D4,K3+B4/1440))</x:f>
        <x:v>46170.31041666667</x:v>
      </x:c>
      <x:c r="K4" s="33" t="n">
        <x:f>IF(G4&lt;&gt;"",G4,J4+(E4-D4))</x:f>
        <x:v>46170.33125</x:v>
      </x:c>
      <x:c r="L4" s="32" t="str">
        <x:f>IF(OR(O4="",P4=""),"N/A",IF(J4&gt;P4,"Late",IF(J4&lt;O4,"Early","On time")))</x:f>
        <x:v>On time</x:v>
      </x:c>
      <x:c r="M4" s="38" t="str">
        <x:v>Scott Blair</x:v>
      </x:c>
      <x:c r="N4" s="32" t="str">
        <x:v>102 Tiger Ln, Trenton, TX 75490</x:v>
      </x:c>
      <x:c r="O4" t="n">
        <x:v>46170.25</x:v>
      </x:c>
      <x:c r="P4" t="n">
        <x:v>46170.416666666664</x:v>
      </x:c>
    </x:row>
    <x:row r="5">
      <x:c r="A5" s="32" t="n">
        <x:v>4</x:v>
      </x:c>
      <x:c r="B5" s="32" t="n">
        <x:v>15</x:v>
      </x:c>
      <x:c r="C5" s="32" t="str">
        <x:v>6:30 AM – 10:30 AM</x:v>
      </x:c>
      <x:c r="D5" s="33" t="n">
        <x:v>46170.34166666667</x:v>
      </x:c>
      <x:c r="E5" s="33" t="n">
        <x:v>46170.3625</x:v>
      </x:c>
      <x:c r="F5" s="33" t="str"/>
      <x:c r="G5" s="33" t="str"/>
      <x:c r="H5" s="34" t="str">
        <x:f>IF(F5="","",ROUND((F5-(K4+B5/1440))*1440,0))</x:f>
      </x:c>
      <x:c r="I5" s="34" t="str">
        <x:f>IF(OR(F5="",G5=""),"",ROUND(((G5-F5)-(E5-D5))*1440,0))</x:f>
      </x:c>
      <x:c r="J5" s="33" t="n">
        <x:f>IF(F5&lt;&gt;"",F5,IF(A5=1,D5,K4+B5/1440))</x:f>
        <x:v>46170.34166666667</x:v>
      </x:c>
      <x:c r="K5" s="33" t="n">
        <x:f>IF(G5&lt;&gt;"",G5,J5+(E5-D5))</x:f>
        <x:v>46170.3625</x:v>
      </x:c>
      <x:c r="L5" s="32" t="str">
        <x:f>IF(OR(O5="",P5=""),"N/A",IF(J5&gt;P5,"Late",IF(J5&lt;O5,"Early","On time")))</x:f>
        <x:v>On time</x:v>
      </x:c>
      <x:c r="M5" s="38" t="str">
        <x:v>Andrew Smith</x:v>
      </x:c>
      <x:c r="N5" s="32" t="str">
        <x:v>1604 Dove Dr, Princeton, TX 75407</x:v>
      </x:c>
      <x:c r="O5" t="n">
        <x:v>46170.270833333336</x:v>
      </x:c>
      <x:c r="P5" t="n">
        <x:v>46170.4375</x:v>
      </x:c>
    </x:row>
    <x:row r="6">
      <x:c r="A6" s="32" t="n">
        <x:v>5</x:v>
      </x:c>
      <x:c r="B6" s="32" t="n">
        <x:v>3</x:v>
      </x:c>
      <x:c r="C6" s="32" t="str">
        <x:v>6:30 AM – 10:30 AM</x:v>
      </x:c>
      <x:c r="D6" s="33" t="n">
        <x:v>46170.364583333336</x:v>
      </x:c>
      <x:c r="E6" s="33" t="n">
        <x:v>46170.385416666664</x:v>
      </x:c>
      <x:c r="F6" s="33" t="str"/>
      <x:c r="G6" s="33" t="str"/>
      <x:c r="H6" s="34" t="str">
        <x:f>IF(F6="","",ROUND((F6-(K5+B6/1440))*1440,0))</x:f>
      </x:c>
      <x:c r="I6" s="34" t="str">
        <x:f>IF(OR(F6="",G6=""),"",ROUND(((G6-F6)-(E6-D6))*1440,0))</x:f>
      </x:c>
      <x:c r="J6" s="33" t="n">
        <x:f>IF(F6&lt;&gt;"",F6,IF(A6=1,D6,K5+B6/1440))</x:f>
        <x:v>46170.364583333336</x:v>
      </x:c>
      <x:c r="K6" s="33" t="n">
        <x:f>IF(G6&lt;&gt;"",G6,J6+(E6-D6))</x:f>
        <x:v>46170.385416666664</x:v>
      </x:c>
      <x:c r="L6" s="32" t="str">
        <x:f>IF(OR(O6="",P6=""),"N/A",IF(J6&gt;P6,"Late",IF(J6&lt;O6,"Early","On time")))</x:f>
        <x:v>On time</x:v>
      </x:c>
      <x:c r="M6" s="38" t="str">
        <x:v>Luis Santos</x:v>
      </x:c>
      <x:c r="N6" s="32" t="str">
        <x:v>129 Spurgeon St, Princeton, TX 75407</x:v>
      </x:c>
      <x:c r="O6" t="n">
        <x:v>46170.270833333336</x:v>
      </x:c>
      <x:c r="P6" t="n">
        <x:v>46170.4375</x:v>
      </x:c>
    </x:row>
    <x:row r="7">
      <x:c r="A7" s="32" t="n">
        <x:v>6</x:v>
      </x:c>
      <x:c r="B7" s="32" t="n">
        <x:v>22</x:v>
      </x:c>
      <x:c r="C7" s="32" t="str">
        <x:v>Return / Trailer Swap</x:v>
      </x:c>
      <x:c r="D7" s="33" t="n">
        <x:v>46170.40069444444</x:v>
      </x:c>
      <x:c r="E7" s="33" t="n">
        <x:v>46170.493055555555</x:v>
      </x:c>
      <x:c r="F7" s="33" t="str"/>
      <x:c r="G7" s="33" t="str"/>
      <x:c r="H7" s="34" t="str">
        <x:f>IF(F7="","",ROUND((F7-(K6+B7/1440))*1440,0))</x:f>
      </x:c>
      <x:c r="I7" s="34" t="str">
        <x:f>IF(OR(F7="",G7=""),"",ROUND(((G7-F7)-(E7-D7))*1440,0))</x:f>
      </x:c>
      <x:c r="J7" s="33" t="n">
        <x:f>IF(F7&lt;&gt;"",F7,IF(A7=1,D7,K6+B7/1440))</x:f>
        <x:v>46170.40069444444</x:v>
      </x:c>
      <x:c r="K7" s="33" t="n">
        <x:f>IF(G7&lt;&gt;"",G7,J7+(E7-D7))</x:f>
        <x:v>46170.493055555555</x:v>
      </x:c>
      <x:c r="L7" s="32" t="str">
        <x:f>IF(OR(O7="",P7=""),"N/A",IF(J7&gt;P7,"Late",IF(J7&lt;O7,"Early","On time")))</x:f>
        <x:v>N/A</x:v>
      </x:c>
      <x:c r="M7" s="38" t="str">
        <x:v>STORE 0528 + RELAY 0528 Pickup</x:v>
      </x:c>
      <x:c r="N7" s="32" t="str">
        <x:v>1515 N Central Expressway, McKinney, TX 75070</x:v>
      </x:c>
      <x:c r="O7" t="str"/>
      <x:c r="P7" t="str"/>
    </x:row>
    <x:row r="8">
      <x:c r="A8" s="32" t="n">
        <x:v>7</x:v>
      </x:c>
      <x:c r="B8" s="32" t="n">
        <x:v>5</x:v>
      </x:c>
      <x:c r="C8" s="32" t="str">
        <x:v>9:30 AM – 2:30 PM</x:v>
      </x:c>
      <x:c r="D8" s="33" t="n">
        <x:v>46170.49652777778</x:v>
      </x:c>
      <x:c r="E8" s="33" t="n">
        <x:v>46170.55902777778</x:v>
      </x:c>
      <x:c r="F8" s="33" t="str"/>
      <x:c r="G8" s="33" t="str"/>
      <x:c r="H8" s="34" t="str">
        <x:f>IF(F8="","",ROUND((F8-(K7+B8/1440))*1440,0))</x:f>
      </x:c>
      <x:c r="I8" s="34" t="str">
        <x:f>IF(OR(F8="",G8=""),"",ROUND(((G8-F8)-(E8-D8))*1440,0))</x:f>
      </x:c>
      <x:c r="J8" s="33" t="n">
        <x:f>IF(F8&lt;&gt;"",F8,IF(A8=1,D8,K7+B8/1440))</x:f>
        <x:v>46170.496527777774</x:v>
      </x:c>
      <x:c r="K8" s="33" t="n">
        <x:f>IF(G8&lt;&gt;"",G8,J8+(E8-D8))</x:f>
        <x:v>46170.559027777774</x:v>
      </x:c>
      <x:c r="L8" s="32" t="str">
        <x:f>IF(OR(O8="",P8=""),"N/A",IF(J8&gt;P8,"Late",IF(J8&lt;O8,"Early","On time")))</x:f>
        <x:v>On time</x:v>
      </x:c>
      <x:c r="M8" s="38" t="str">
        <x:v>Diana Vasquez — Multiple Building Drops</x:v>
      </x:c>
      <x:c r="N8" s="32" t="str">
        <x:v>2215 Bush Dr, McKinney, TX 75070</x:v>
      </x:c>
      <x:c r="O8" t="n">
        <x:v>46170.395833333336</x:v>
      </x:c>
      <x:c r="P8" t="n">
        <x:v>46170.604166666664</x:v>
      </x:c>
    </x:row>
    <x:row r="9">
      <x:c r="A9" s="32" t="n">
        <x:v>8</x:v>
      </x:c>
      <x:c r="B9" s="32" t="n">
        <x:v>8</x:v>
      </x:c>
      <x:c r="C9" s="32" t="str">
        <x:v>12:00 PM – 4:00 PM</x:v>
      </x:c>
      <x:c r="D9" s="33" t="n">
        <x:v>46170.56458333333</x:v>
      </x:c>
      <x:c r="E9" s="33" t="n">
        <x:v>46170.58541666667</x:v>
      </x:c>
      <x:c r="F9" s="33" t="str"/>
      <x:c r="G9" s="33" t="str"/>
      <x:c r="H9" s="34" t="str">
        <x:f>IF(F9="","",ROUND((F9-(K8+B9/1440))*1440,0))</x:f>
      </x:c>
      <x:c r="I9" s="34" t="str">
        <x:f>IF(OR(F9="",G9=""),"",ROUND(((G9-F9)-(E9-D9))*1440,0))</x:f>
      </x:c>
      <x:c r="J9" s="33" t="n">
        <x:f>IF(F9&lt;&gt;"",F9,IF(A9=1,D9,K8+B9/1440))</x:f>
        <x:v>46170.56458333333</x:v>
      </x:c>
      <x:c r="K9" s="33" t="n">
        <x:f>IF(G9&lt;&gt;"",G9,J9+(E9-D9))</x:f>
        <x:v>46170.58541666667</x:v>
      </x:c>
      <x:c r="L9" s="32" t="str">
        <x:f>IF(OR(O9="",P9=""),"N/A",IF(J9&gt;P9,"Late",IF(J9&lt;O9,"Early","On time")))</x:f>
        <x:v>On time</x:v>
      </x:c>
      <x:c r="M9" s="38" t="str">
        <x:v>Lindsey Ancrum</x:v>
      </x:c>
      <x:c r="N9" s="32" t="str">
        <x:v>2832 Rosewood Blvd, McKinney, TX 75071</x:v>
      </x:c>
      <x:c r="O9" t="n">
        <x:v>46170.5</x:v>
      </x:c>
      <x:c r="P9" t="n">
        <x:v>46170.666666666664</x:v>
      </x:c>
    </x:row>
    <x:row r="10">
      <x:c r="A10" s="32" t="n">
        <x:v>9</x:v>
      </x:c>
      <x:c r="B10" s="32" t="n">
        <x:v>6</x:v>
      </x:c>
      <x:c r="C10" s="32" t="str">
        <x:v>12:00 PM – 4:00 PM</x:v>
      </x:c>
      <x:c r="D10" s="33" t="n">
        <x:v>46170.589583333334</x:v>
      </x:c>
      <x:c r="E10" s="33" t="n">
        <x:v>46170.61041666667</x:v>
      </x:c>
      <x:c r="F10" s="33" t="str"/>
      <x:c r="G10" s="33" t="str"/>
      <x:c r="H10" s="34" t="str">
        <x:f>IF(F10="","",ROUND((F10-(K9+B10/1440))*1440,0))</x:f>
      </x:c>
      <x:c r="I10" s="34" t="str">
        <x:f>IF(OR(F10="",G10=""),"",ROUND(((G10-F10)-(E10-D10))*1440,0))</x:f>
      </x:c>
      <x:c r="J10" s="33" t="n">
        <x:f>IF(F10&lt;&gt;"",F10,IF(A10=1,D10,K9+B10/1440))</x:f>
        <x:v>46170.589583333334</x:v>
      </x:c>
      <x:c r="K10" s="33" t="n">
        <x:f>IF(G10&lt;&gt;"",G10,J10+(E10-D10))</x:f>
        <x:v>46170.61041666667</x:v>
      </x:c>
      <x:c r="L10" s="32" t="str">
        <x:f>IF(OR(O10="",P10=""),"N/A",IF(J10&gt;P10,"Late",IF(J10&lt;O10,"Early","On time")))</x:f>
        <x:v>On time</x:v>
      </x:c>
      <x:c r="M10" s="38" t="str">
        <x:v>Mark Whitaker</x:v>
      </x:c>
      <x:c r="N10" s="32" t="str">
        <x:v>8726 County Highway 858, McKinney, TX 75071</x:v>
      </x:c>
      <x:c r="O10" t="n">
        <x:v>46170.5</x:v>
      </x:c>
      <x:c r="P10" t="n">
        <x:v>46170.666666666664</x:v>
      </x:c>
    </x:row>
    <x:row r="11">
      <x:c r="A11" s="32" t="n">
        <x:v>10</x:v>
      </x:c>
      <x:c r="B11" s="32" t="n">
        <x:v>15</x:v>
      </x:c>
      <x:c r="C11" s="32" t="str">
        <x:v>Final Return</x:v>
      </x:c>
      <x:c r="D11" s="33" t="n">
        <x:v>46170.620833333334</x:v>
      </x:c>
      <x:c r="E11" s="33" t="n">
        <x:v>46170.634722222225</x:v>
      </x:c>
      <x:c r="F11" s="33" t="str"/>
      <x:c r="G11" s="33" t="str"/>
      <x:c r="H11" s="34" t="str">
        <x:f>IF(F11="","",ROUND((F11-(K10+B11/1440))*1440,0))</x:f>
      </x:c>
      <x:c r="I11" s="34" t="str">
        <x:f>IF(OR(F11="",G11=""),"",ROUND(((G11-F11)-(E11-D11))*1440,0))</x:f>
      </x:c>
      <x:c r="J11" s="33" t="n">
        <x:f>IF(F11&lt;&gt;"",F11,IF(A11=1,D11,K10+B11/1440))</x:f>
        <x:v>46170.620833333334</x:v>
      </x:c>
      <x:c r="K11" s="33" t="n">
        <x:f>IF(G11&lt;&gt;"",G11,J11+(E11-D11))</x:f>
        <x:v>46170.634722222225</x:v>
      </x:c>
      <x:c r="L11" s="32" t="str">
        <x:f>IF(OR(O11="",P11=""),"N/A",IF(J11&gt;P11,"Late",IF(J11&lt;O11,"Early","On time")))</x:f>
        <x:v>N/A</x:v>
      </x:c>
      <x:c r="M11" s="38" t="str">
        <x:v>STORE 0528 Final Return</x:v>
      </x:c>
      <x:c r="N11" s="32" t="str">
        <x:v>1515 N Central Expressway, McKinney, TX 75070</x:v>
      </x:c>
      <x:c r="O11" t="str"/>
      <x:c r="P11" t="str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</x:row>
    <x:row r="13">
      <x:c r="A13" s="25" t="str">
        <x:v>Summary</x:v>
      </x:c>
      <x:c r="B13" s="25" t="str"/>
      <x:c r="C13" s="22"/>
      <x:c r="D13" s="26" t="str">
        <x:v>How to use: Enter times only in the Actual Arrive and Actual Depart columns. The sheet recalculates Drive Loss, Delivery Loss, Projected Arrive/Depart, and Window Status. Use times like 7:05 AM.</x:v>
      </x:c>
      <x:c r="E13" s="26" t="str"/>
      <x:c r="F13" s="26" t="str"/>
      <x:c r="G13" s="26" t="str"/>
      <x:c r="H13" s="26" t="str"/>
      <x:c r="I13" s="26" t="str"/>
      <x:c r="J13" s="26" t="str"/>
      <x:c r="K13" s="26" t="str"/>
      <x:c r="L13" s="26" t="str"/>
      <x:c r="M13" s="26" t="str"/>
      <x:c r="N13" s="26" t="str"/>
    </x:row>
    <x:row r="14">
      <x:c r="A14" s="22" t="str">
        <x:v>Total Stops</x:v>
      </x:c>
      <x:c r="B14" s="24" t="n">
        <x:f>COUNTA(A2:A11)</x:f>
        <x:v>10</x:v>
      </x:c>
      <x:c r="C14" s="22"/>
      <x:c r="D14" s="22" t="str"/>
      <x:c r="E14" s="22" t="str"/>
      <x:c r="F14" s="22" t="str"/>
      <x:c r="G14" s="22" t="str"/>
      <x:c r="H14" s="22" t="str"/>
      <x:c r="I14" s="22" t="str"/>
      <x:c r="J14" s="22" t="str"/>
      <x:c r="K14" s="22" t="str"/>
      <x:c r="L14" s="22" t="str"/>
      <x:c r="M14" s="22" t="str"/>
      <x:c r="N14" s="22" t="str"/>
    </x:row>
    <x:row r="15">
      <x:c r="A15" s="22" t="str">
        <x:v>Last Projected Finish</x:v>
      </x:c>
      <x:c r="B15" s="23" t="n">
        <x:f>K11</x:f>
        <x:v>46170.634722222225</x:v>
      </x:c>
      <x:c r="C15" s="22"/>
      <x:c r="D15" s="22" t="str"/>
      <x:c r="E15" s="22" t="str"/>
      <x:c r="F15" s="22" t="str"/>
      <x:c r="G15" s="22" t="str"/>
      <x:c r="H15" s="22" t="str"/>
      <x:c r="I15" s="22" t="str"/>
      <x:c r="J15" s="22" t="str"/>
      <x:c r="K15" s="22" t="str"/>
      <x:c r="L15" s="22" t="str"/>
      <x:c r="M15" s="22" t="str"/>
      <x:c r="N15" s="22" t="str"/>
    </x:row>
    <x:row r="16">
      <x:c r="A16" s="22" t="str">
        <x:v>Total Drive Loss (min)</x:v>
      </x:c>
      <x:c r="B16" s="24" t="n">
        <x:f>SUM(H2:H11)</x:f>
        <x:v>0</x:v>
      </x:c>
      <x:c r="C16" s="22"/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</x:row>
    <x:row r="17">
      <x:c r="A17" s="22" t="str">
        <x:v>Total Delivery Loss (min)</x:v>
      </x:c>
      <x:c r="B17" s="24" t="n">
        <x:f>SUM(I2:I11)</x:f>
        <x:v>0</x:v>
      </x:c>
      <x:c r="C17" s="22"/>
      <x:c r="D17" s="22" t="str"/>
      <x:c r="E17" s="22" t="str"/>
      <x:c r="F17" s="22" t="str"/>
      <x:c r="G17" s="22" t="str"/>
      <x:c r="H17" s="22" t="str"/>
      <x:c r="I17" s="22" t="str"/>
      <x:c r="J17" s="22" t="str"/>
      <x:c r="K17" s="22" t="str"/>
      <x:c r="L17" s="22" t="str"/>
      <x:c r="M17" s="22" t="str"/>
      <x:c r="N17" s="22" t="str"/>
    </x:row>
    <x:row r="18">
      <x:c r="A18" s="22" t="str">
        <x:v>Current Route Status</x:v>
      </x:c>
      <x:c r="B18" s="22" t="str">
        <x:f>IF(COUNTIF(L2:L11,"Late")&gt;0,"Some stops projected late","On schedule")</x:f>
        <x:v>On schedule</x:v>
      </x:c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</x:row>
  </x:sheetData>
  <x:conditionalFormatting sqref="H2:I11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L2:L11">
    <x:cfRule type="expression" dxfId="2" priority="3">
      <x:formula>L2="Late"</x:formula>
    </x:cfRule>
    <x:cfRule type="expression" dxfId="3" priority="4">
      <x:formula>L2="On time"</x:formula>
    </x:cfRule>
    <x:cfRule type="expression" dxfId="4" priority="5">
      <x:formula>L2="Early"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01daa7ef74840bf"/>
  </x:tableParts>
</x:worksheet>
</file>